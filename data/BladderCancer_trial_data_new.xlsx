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4476224/Desktop/RejniakLab_projects/Projects/2026_PETIL_proj/PETIL_70_30_spl/data/"/>
    </mc:Choice>
  </mc:AlternateContent>
  <xr:revisionPtr revIDLastSave="0" documentId="13_ncr:1_{44DDCAB6-173E-7D40-9279-ED471B503CE2}" xr6:coauthVersionLast="47" xr6:coauthVersionMax="47" xr10:uidLastSave="{00000000-0000-0000-0000-000000000000}"/>
  <bookViews>
    <workbookView xWindow="9680" yWindow="2080" windowWidth="24460" windowHeight="13940" xr2:uid="{00000000-000D-0000-FFFF-FFFF00000000}"/>
  </bookViews>
  <sheets>
    <sheet name="Sheet1" sheetId="1" r:id="rId1"/>
    <sheet name="Sheet2" sheetId="4" r:id="rId2"/>
    <sheet name="Sheet3" sheetId="5" r:id="rId3"/>
    <sheet name="Sheet4" sheetId="6" r:id="rId4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9" i="6" l="1"/>
  <c r="J29" i="6"/>
  <c r="I29" i="6"/>
  <c r="H29" i="6"/>
  <c r="G29" i="6"/>
  <c r="F29" i="6"/>
  <c r="E29" i="6"/>
  <c r="D29" i="6"/>
  <c r="C29" i="6"/>
  <c r="B29" i="6"/>
  <c r="G3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B29" i="5"/>
  <c r="C29" i="5"/>
  <c r="E30" i="4"/>
  <c r="B29" i="4"/>
</calcChain>
</file>

<file path=xl/sharedStrings.xml><?xml version="1.0" encoding="utf-8"?>
<sst xmlns="http://schemas.openxmlformats.org/spreadsheetml/2006/main" count="166" uniqueCount="97">
  <si>
    <t>ID</t>
  </si>
  <si>
    <t>Molecular Subtype</t>
  </si>
  <si>
    <t>Surgeon</t>
  </si>
  <si>
    <t>sex</t>
  </si>
  <si>
    <t>AGE @ surgery</t>
  </si>
  <si>
    <t>RACE</t>
  </si>
  <si>
    <t>ETHNICITY</t>
  </si>
  <si>
    <t>BMI</t>
  </si>
  <si>
    <t xml:space="preserve">Surgery </t>
  </si>
  <si>
    <t>Smoker</t>
  </si>
  <si>
    <t>NMIBC_vs_MIBC</t>
  </si>
  <si>
    <t>cT</t>
  </si>
  <si>
    <t>cN</t>
  </si>
  <si>
    <t>cM</t>
  </si>
  <si>
    <t>Bx_Histology</t>
  </si>
  <si>
    <t>pT</t>
  </si>
  <si>
    <t>pM</t>
  </si>
  <si>
    <t>Histology</t>
  </si>
  <si>
    <t>Secondary_Histology</t>
  </si>
  <si>
    <t>Prior_BCG</t>
  </si>
  <si>
    <t>#_BCG_cycles</t>
  </si>
  <si>
    <t>BCG_failure_or_refractory</t>
  </si>
  <si>
    <t>Sample weight (g) - tumor</t>
  </si>
  <si>
    <t>Number of fragments plated - tumor</t>
  </si>
  <si>
    <t>Tumor digest count - primary tumor</t>
  </si>
  <si>
    <t>C</t>
  </si>
  <si>
    <t>('Molecular Subtype'</t>
  </si>
  <si>
    <t>('Surgeon'</t>
  </si>
  <si>
    <t>('sex'</t>
  </si>
  <si>
    <t>('AGE @ surgery'</t>
  </si>
  <si>
    <t>('RACE'</t>
  </si>
  <si>
    <t>('ETHNICITY'</t>
  </si>
  <si>
    <t>('Surgery '</t>
  </si>
  <si>
    <t>('Smoker'</t>
  </si>
  <si>
    <t>('NMIBC_vs_MIBC'</t>
  </si>
  <si>
    <t>('cT'</t>
  </si>
  <si>
    <t>('cN'</t>
  </si>
  <si>
    <t>('cM'</t>
  </si>
  <si>
    <t>('Bx_Histology'</t>
  </si>
  <si>
    <t>('C'</t>
  </si>
  <si>
    <t>('pT'</t>
  </si>
  <si>
    <t>('pM'</t>
  </si>
  <si>
    <t>('Histology'</t>
  </si>
  <si>
    <t>('Grade UC High:1</t>
  </si>
  <si>
    <t>('Secondary_Histology'</t>
  </si>
  <si>
    <t>('Prior_BCG'</t>
  </si>
  <si>
    <t>('#_BCG_cycles'</t>
  </si>
  <si>
    <t>('BCG_failure_or_refractory'</t>
  </si>
  <si>
    <t>('Sample weight (g) - tumor'</t>
  </si>
  <si>
    <t>('Number of fragments plated - tumor'</t>
  </si>
  <si>
    <t>('Tumor digest count - primary tumor'</t>
  </si>
  <si>
    <t>Column1</t>
  </si>
  <si>
    <t>Column2</t>
  </si>
  <si>
    <t>Grade UC High:1</t>
  </si>
  <si>
    <t>Random forest</t>
  </si>
  <si>
    <t>Ridge regression</t>
  </si>
  <si>
    <t>Features</t>
  </si>
  <si>
    <t>Mean RndSeed</t>
  </si>
  <si>
    <t>RndSeed 1</t>
  </si>
  <si>
    <t>RndSeed 2</t>
  </si>
  <si>
    <t>RndSeed 3</t>
  </si>
  <si>
    <t>RndSeed 4</t>
  </si>
  <si>
    <t>RndSeed 5</t>
  </si>
  <si>
    <t>RndSeed 6</t>
  </si>
  <si>
    <t>RndSeed 7</t>
  </si>
  <si>
    <t>RndSeed 8</t>
  </si>
  <si>
    <t>RndSeed 9</t>
  </si>
  <si>
    <t>RndSeed 10</t>
  </si>
  <si>
    <t>Race</t>
  </si>
  <si>
    <t>Age_at_Surgery</t>
  </si>
  <si>
    <t>Number_of_fragments_plated_tumor</t>
  </si>
  <si>
    <t>Overall_TIL_growth</t>
  </si>
  <si>
    <t>Tumor_digest_count_primary_tumor</t>
  </si>
  <si>
    <t>Sample_weight_g_tumor</t>
  </si>
  <si>
    <t>Surgery</t>
  </si>
  <si>
    <t>BLT-005</t>
  </si>
  <si>
    <t>BLT-006</t>
  </si>
  <si>
    <t>BLT-007</t>
  </si>
  <si>
    <t>BLT-010</t>
  </si>
  <si>
    <t>BLT-011</t>
  </si>
  <si>
    <t>BLT-012</t>
  </si>
  <si>
    <t>BLT-015</t>
  </si>
  <si>
    <t>BLT-020</t>
  </si>
  <si>
    <t>ID modified</t>
  </si>
  <si>
    <t>patient 01</t>
  </si>
  <si>
    <t>patient 02</t>
  </si>
  <si>
    <t>patient 03</t>
  </si>
  <si>
    <t>patient 04</t>
  </si>
  <si>
    <t>patient 05</t>
  </si>
  <si>
    <t>patient 06</t>
  </si>
  <si>
    <t>patient 07</t>
  </si>
  <si>
    <t>patient 08</t>
  </si>
  <si>
    <t>patient 09</t>
  </si>
  <si>
    <t>MRN</t>
  </si>
  <si>
    <t>BLT-019 (Note - this should be BLT-017)</t>
  </si>
  <si>
    <t>HG Ta + CIS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</si>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</sst>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4" fillId="0" borderId="0" xfId="0" applyFont="1"/>
    <xf numFmtId="0" fontId="5" fillId="2" borderId="0" xfId="1" applyBorder="1" applyAlignment="1">
      <alignment horizontal="left" vertical="center" wrapText="1"/>
    </xf>
    <xf numFmtId="49" fontId="7" fillId="2" borderId="1" xfId="1" applyNumberFormat="1" applyFont="1" applyBorder="1" applyAlignment="1">
      <alignment horizontal="center" vertical="top" wrapText="1"/>
    </xf>
    <xf numFmtId="0" fontId="7" fillId="2" borderId="1" xfId="1" applyFont="1" applyBorder="1" applyAlignment="1">
      <alignment horizontal="center" vertical="top" wrapText="1"/>
    </xf>
    <xf numFmtId="0" fontId="6" fillId="3" borderId="1" xfId="2" applyFont="1" applyBorder="1" applyAlignment="1">
      <alignment horizontal="left" vertical="top"/>
    </xf>
    <xf numFmtId="1" fontId="6" fillId="3" borderId="1" xfId="2" applyNumberFormat="1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7" fillId="2" borderId="0" xfId="1" applyFont="1" applyBorder="1" applyAlignment="1">
      <alignment horizontal="left" vertical="center" wrapText="1"/>
    </xf>
    <xf numFmtId="0" fontId="6" fillId="4" borderId="1" xfId="2" applyFont="1" applyFill="1" applyBorder="1" applyAlignment="1">
      <alignment horizontal="left" vertical="top"/>
    </xf>
    <xf numFmtId="49" fontId="6" fillId="3" borderId="1" xfId="2" applyNumberFormat="1" applyFont="1" applyBorder="1" applyAlignment="1">
      <alignment horizontal="left" vertical="top"/>
    </xf>
    <xf numFmtId="49" fontId="2" fillId="0" borderId="0" xfId="0" applyNumberFormat="1" applyFont="1" applyAlignment="1">
      <alignment horizontal="left"/>
    </xf>
    <xf numFmtId="0" fontId="6" fillId="5" borderId="1" xfId="2" applyFont="1" applyFill="1" applyBorder="1" applyAlignment="1">
      <alignment horizontal="left" vertical="top"/>
    </xf>
    <xf numFmtId="0" fontId="6" fillId="6" borderId="1" xfId="2" applyFont="1" applyFill="1" applyBorder="1" applyAlignment="1">
      <alignment horizontal="left" vertical="top"/>
    </xf>
  </cellXfs>
  <cellStyles count="3">
    <cellStyle name="20% - Accent6" xfId="2" builtinId="50"/>
    <cellStyle name="Accent1" xfId="1" builtinId="29"/>
    <cellStyle name="Normal" xfId="0" builtinId="0"/>
  </cellStyles>
  <dxfs count="58"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AB4310-F641-664D-B3C0-25DD69EAFED9}" name="Table1" displayName="Table1" ref="A2:B27" totalsRowShown="0" headerRowDxfId="57" dataDxfId="56">
  <autoFilter ref="A2:B27" xr:uid="{2DAB4310-F641-664D-B3C0-25DD69EAFED9}"/>
  <sortState xmlns:xlrd2="http://schemas.microsoft.com/office/spreadsheetml/2017/richdata2" ref="A3:B27">
    <sortCondition descending="1" ref="B2:B27"/>
  </sortState>
  <tableColumns count="2">
    <tableColumn id="1" xr3:uid="{A00BC2EA-7E9B-4F4B-BDC2-2B6AB0B8C9B2}" name="Column1" dataDxfId="55"/>
    <tableColumn id="2" xr3:uid="{A8D1C623-D5F1-AD4E-A99E-A35EAC2D3688}" name="Column2" dataDxfId="5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75EB32-1DEF-EB47-AC02-707E38C0981E}" name="Table24" displayName="Table24" ref="D2:E27" totalsRowShown="0" headerRowDxfId="53" dataDxfId="52">
  <autoFilter ref="D2:E27" xr:uid="{FD75EB32-1DEF-EB47-AC02-707E38C0981E}"/>
  <sortState xmlns:xlrd2="http://schemas.microsoft.com/office/spreadsheetml/2017/richdata2" ref="D3:E27">
    <sortCondition descending="1" ref="E2:E27"/>
  </sortState>
  <tableColumns count="2">
    <tableColumn id="1" xr3:uid="{CB7C8090-44C1-C34D-AAFB-38FA691440BE}" name="Column1" dataDxfId="51"/>
    <tableColumn id="2" xr3:uid="{DE0A40CA-C906-B144-A78A-2EBC94567B0F}" name="Column2" dataDxfId="50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2CEAB1-F56F-DC46-B7EB-52238CBA8C21}" name="Table13" displayName="Table13" ref="A2:B27" totalsRowShown="0" headerRowDxfId="49" dataDxfId="48">
  <autoFilter ref="A2:B27" xr:uid="{9A2CEAB1-F56F-DC46-B7EB-52238CBA8C21}"/>
  <sortState xmlns:xlrd2="http://schemas.microsoft.com/office/spreadsheetml/2017/richdata2" ref="A3:B27">
    <sortCondition descending="1" ref="B2:B27"/>
  </sortState>
  <tableColumns count="2">
    <tableColumn id="1" xr3:uid="{0C387309-D1B0-DB49-B924-598D8719DECE}" name="Features" dataDxfId="47"/>
    <tableColumn id="2" xr3:uid="{73D006C9-514D-7641-8105-0F2D8629E90B}" name="RndSeed 1" dataDxfId="46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2B8E10-9EDA-DF45-9422-011003889109}" name="Table4" displayName="Table4" ref="C2:C27" totalsRowShown="0" headerRowDxfId="45" dataDxfId="44">
  <autoFilter ref="C2:C27" xr:uid="{DD2B8E10-9EDA-DF45-9422-011003889109}"/>
  <tableColumns count="1">
    <tableColumn id="1" xr3:uid="{C299ACB3-8E6F-0C4E-9B3E-754916D42DEA}" name="RndSeed 2" dataDxfId="43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9846ED1-C76E-A247-A437-ABA73381A89B}" name="Table5" displayName="Table5" ref="G2:G3" totalsRowShown="0" headerRowDxfId="42" dataDxfId="41">
  <autoFilter ref="G2:G3" xr:uid="{99846ED1-C76E-A247-A437-ABA73381A89B}"/>
  <sortState xmlns:xlrd2="http://schemas.microsoft.com/office/spreadsheetml/2017/richdata2" ref="G3">
    <sortCondition descending="1" ref="G2:G3"/>
  </sortState>
  <tableColumns count="1">
    <tableColumn id="1" xr3:uid="{1A93FE82-950B-6945-9149-51EC4D439385}" name="Mean RndSeed" dataDxfId="40">
      <calculatedColumnFormula>AVERAGE($B$3:$F$3)</calculatedColumnFormula>
    </tableColumn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928A5A0-D3C1-9D4D-8E50-08ECCA209CDD}" name="Table6" displayName="Table6" ref="D2:D27" totalsRowShown="0" headerRowDxfId="39" dataDxfId="38">
  <autoFilter ref="D2:D27" xr:uid="{C928A5A0-D3C1-9D4D-8E50-08ECCA209CDD}"/>
  <tableColumns count="1">
    <tableColumn id="1" xr3:uid="{2075915A-6980-DA43-B9E6-99D061213242}" name="RndSeed 3" dataDxfId="37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7265DA6-01C1-A740-A5AA-3BFB45E6DCD8}" name="Table8" displayName="Table8" ref="F2:F27" totalsRowShown="0" headerRowDxfId="36" dataDxfId="35">
  <autoFilter ref="F2:F27" xr:uid="{07265DA6-01C1-A740-A5AA-3BFB45E6DCD8}"/>
  <tableColumns count="1">
    <tableColumn id="1" xr3:uid="{C65848E6-D163-2840-AE3E-A2053DAEA782}" name="RndSeed 5" dataDxfId="34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58639535-1B62-0942-9D6B-D8C40C29B398}" name="Table9" displayName="Table9" ref="E2:E27" totalsRowShown="0" headerRowDxfId="33" dataDxfId="32">
  <autoFilter ref="E2:E27" xr:uid="{58639535-1B62-0942-9D6B-D8C40C29B398}"/>
  <tableColumns count="1">
    <tableColumn id="1" xr3:uid="{4A893C6B-0167-2D47-9ADE-FA9B6861D109}" name="RndSeed 4" dataDxfId="31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B44DE6-11B5-3940-849D-7A136463ADFC}" name="Table138" displayName="Table138" ref="A2:B27" totalsRowShown="0" headerRowDxfId="30" dataDxfId="29">
  <autoFilter ref="A2:B27" xr:uid="{9CB44DE6-11B5-3940-849D-7A136463ADFC}"/>
  <sortState xmlns:xlrd2="http://schemas.microsoft.com/office/spreadsheetml/2017/richdata2" ref="A3:B27">
    <sortCondition descending="1" ref="B2:B27"/>
  </sortState>
  <tableColumns count="2">
    <tableColumn id="1" xr3:uid="{29E2060F-9CCF-5A45-9A6A-D15D9440EDB7}" name="Features" dataDxfId="28"/>
    <tableColumn id="2" xr3:uid="{46C2A5FE-0731-114F-90DE-9C77209B5215}" name="RndSeed 1" dataDxfId="27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7F88A00B-8116-5843-A089-597043F7121D}" name="Table411" displayName="Table411" ref="C2:C27" totalsRowShown="0" headerRowDxfId="26" dataDxfId="25">
  <autoFilter ref="C2:C27" xr:uid="{7F88A00B-8116-5843-A089-597043F7121D}"/>
  <tableColumns count="1">
    <tableColumn id="1" xr3:uid="{D6236028-260B-FC40-9C24-ADCFD50E23B7}" name="RndSeed 2" dataDxfId="24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60E6D70-E4DE-2B4D-BC49-2A3CEC896693}" name="Table613" displayName="Table613" ref="D2:D27" totalsRowShown="0" headerRowDxfId="23" dataDxfId="22">
  <autoFilter ref="D2:D27" xr:uid="{560E6D70-E4DE-2B4D-BC49-2A3CEC896693}"/>
  <tableColumns count="1">
    <tableColumn id="1" xr3:uid="{A2A9168F-9609-D147-86EC-1D52E1EA03AE}" name="RndSeed 3" dataDxfId="21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BBE044E-6F69-2F45-B9D1-6046F417F717}" name="Table814" displayName="Table814" ref="F2:F27" totalsRowShown="0" headerRowDxfId="20" dataDxfId="19">
  <autoFilter ref="F2:F27" xr:uid="{2BBE044E-6F69-2F45-B9D1-6046F417F717}"/>
  <tableColumns count="1">
    <tableColumn id="1" xr3:uid="{79377292-9686-A04D-A203-355A9BA86DCC}" name="RndSeed 5" dataDxfId="18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753EC72-A7F8-2F4B-9418-5BAF88CBF7D3}" name="Table915" displayName="Table915" ref="E2:E27" totalsRowShown="0" headerRowDxfId="17" dataDxfId="16">
  <autoFilter ref="E2:E27" xr:uid="{6753EC72-A7F8-2F4B-9418-5BAF88CBF7D3}"/>
  <tableColumns count="1">
    <tableColumn id="1" xr3:uid="{E0589563-6215-494D-B083-349B2B7C2922}" name="RndSeed 4" dataDxfId="15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ACE68F07-1376-9047-B2AD-BA73FDD9608A}" name="Table81416" displayName="Table81416" ref="G2:G27" totalsRowShown="0" headerRowDxfId="14" dataDxfId="13">
  <autoFilter ref="G2:G27" xr:uid="{ACE68F07-1376-9047-B2AD-BA73FDD9608A}"/>
  <tableColumns count="1">
    <tableColumn id="1" xr3:uid="{0F06B7F9-373A-524B-AD6E-E9C2D8323453}" name="RndSeed 6" dataDxfId="12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63B1D6F9-7EB7-3D4A-BDB9-6014810D0F58}" name="Table81418" displayName="Table81418" ref="H2:H27" totalsRowShown="0" headerRowDxfId="11" dataDxfId="10">
  <autoFilter ref="H2:H27" xr:uid="{63B1D6F9-7EB7-3D4A-BDB9-6014810D0F58}"/>
  <tableColumns count="1">
    <tableColumn id="1" xr3:uid="{C62BEDC7-9DC4-B04C-B3C0-F1F2E0B7D694}" name="RndSeed 7" dataDxfId="9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B143A1A-98BF-1D4D-A040-59C6E22B3390}" name="Table81419" displayName="Table81419" ref="I2:I27" totalsRowShown="0" headerRowDxfId="8" dataDxfId="7">
  <autoFilter ref="I2:I27" xr:uid="{4B143A1A-98BF-1D4D-A040-59C6E22B3390}"/>
  <tableColumns count="1">
    <tableColumn id="1" xr3:uid="{6DA6AEB5-577A-2149-85C6-A720999578DD}" name="RndSeed 8" dataDxfId="6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100AAFE-69D4-5F4F-86FB-AEDF0F2DE6DA}" name="Table81420" displayName="Table81420" ref="J2:J27" totalsRowShown="0" headerRowDxfId="5" dataDxfId="4">
  <autoFilter ref="J2:J27" xr:uid="{5100AAFE-69D4-5F4F-86FB-AEDF0F2DE6DA}"/>
  <tableColumns count="1">
    <tableColumn id="1" xr3:uid="{7EDD9E49-03FD-9441-AB38-1FCD84605059}" name="RndSeed 9" dataDxfId="3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8BA20E78-179B-524C-88B1-570EA8FD2CA1}" name="Table81421" displayName="Table81421" ref="K2:K27" totalsRowShown="0" headerRowDxfId="2" dataDxfId="1">
  <autoFilter ref="K2:K27" xr:uid="{8BA20E78-179B-524C-88B1-570EA8FD2CA1}"/>
  <tableColumns count="1">
    <tableColumn id="1" xr3:uid="{BF3269EB-6BFE-5144-ACAD-C7BAEBD3B56D}" name="RndSeed 10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6" Type="http://schemas.openxmlformats.org/officeDocument/2006/relationships/table" Target="../tables/table8.xml"/><Relationship Id="rId5" Type="http://schemas.openxmlformats.org/officeDocument/2006/relationships/table" Target="../tables/table7.xml"/><Relationship Id="rId4" Type="http://schemas.openxmlformats.org/officeDocument/2006/relationships/table" Target="../tables/table6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6.xml"/><Relationship Id="rId3" Type="http://schemas.openxmlformats.org/officeDocument/2006/relationships/table" Target="../tables/table11.xml"/><Relationship Id="rId7" Type="http://schemas.openxmlformats.org/officeDocument/2006/relationships/table" Target="../tables/table15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6" Type="http://schemas.openxmlformats.org/officeDocument/2006/relationships/table" Target="../tables/table14.xml"/><Relationship Id="rId5" Type="http://schemas.openxmlformats.org/officeDocument/2006/relationships/table" Target="../tables/table13.xml"/><Relationship Id="rId10" Type="http://schemas.openxmlformats.org/officeDocument/2006/relationships/table" Target="../tables/table18.xml"/><Relationship Id="rId4" Type="http://schemas.openxmlformats.org/officeDocument/2006/relationships/table" Target="../tables/table12.xml"/><Relationship Id="rId9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82" zoomScaleNormal="80" workbookViewId="0">
      <pane ySplit="1" topLeftCell="A2" activePane="bottomLeft" state="frozen"/>
      <selection pane="bottomLeft" activeCell="F14" sqref="F14"/>
    </sheetView>
  </sheetViews>
  <sheetFormatPr baseColWidth="10" defaultColWidth="8.83203125" defaultRowHeight="26" x14ac:dyDescent="0.3"/>
  <cols>
    <col min="1" max="1" width="14.83203125" style="8" customWidth="1"/>
    <col min="2" max="2" width="14.5" style="8" customWidth="1"/>
    <col min="3" max="3" width="15.6640625" style="14" bestFit="1" customWidth="1"/>
    <col min="4" max="4" width="12.6640625" style="8" customWidth="1"/>
    <col min="5" max="5" width="10.5" style="8" bestFit="1" customWidth="1"/>
    <col min="6" max="6" width="19.5" style="8" bestFit="1" customWidth="1"/>
    <col min="7" max="7" width="10.1640625" style="10" customWidth="1"/>
    <col min="8" max="8" width="10.5" style="8" customWidth="1"/>
    <col min="9" max="9" width="14.6640625" style="9" customWidth="1"/>
    <col min="10" max="10" width="15" style="9" customWidth="1"/>
    <col min="11" max="11" width="23.83203125" style="8" customWidth="1"/>
    <col min="12" max="12" width="21.5" style="8" customWidth="1"/>
    <col min="13" max="13" width="23.83203125" style="8" customWidth="1"/>
    <col min="14" max="14" width="18.1640625" style="8" customWidth="1"/>
    <col min="15" max="16384" width="8.83203125" style="8"/>
  </cols>
  <sheetData>
    <row r="1" spans="1:14" s="3" customFormat="1" ht="81" x14ac:dyDescent="0.2">
      <c r="A1" s="11" t="s">
        <v>83</v>
      </c>
      <c r="B1" s="4" t="s">
        <v>0</v>
      </c>
      <c r="C1" s="4" t="s">
        <v>93</v>
      </c>
      <c r="D1" s="5" t="s">
        <v>69</v>
      </c>
      <c r="E1" s="5" t="s">
        <v>7</v>
      </c>
      <c r="F1" s="5" t="s">
        <v>11</v>
      </c>
      <c r="G1" s="5" t="s">
        <v>15</v>
      </c>
      <c r="H1" s="5" t="s">
        <v>68</v>
      </c>
      <c r="I1" s="5" t="s">
        <v>74</v>
      </c>
      <c r="J1" s="5" t="s">
        <v>9</v>
      </c>
      <c r="K1" s="5" t="s">
        <v>73</v>
      </c>
      <c r="L1" s="5" t="s">
        <v>72</v>
      </c>
      <c r="M1" s="5" t="s">
        <v>70</v>
      </c>
      <c r="N1" s="5" t="s">
        <v>71</v>
      </c>
    </row>
    <row r="2" spans="1:14" x14ac:dyDescent="0.3">
      <c r="A2" s="8" t="s">
        <v>84</v>
      </c>
      <c r="B2" s="6" t="s">
        <v>75</v>
      </c>
      <c r="C2" s="13">
        <v>1158533</v>
      </c>
      <c r="D2" s="6">
        <v>64</v>
      </c>
      <c r="E2" s="6">
        <v>26.82</v>
      </c>
      <c r="F2" s="6">
        <v>1</v>
      </c>
      <c r="G2" s="6"/>
      <c r="H2" s="6">
        <v>1</v>
      </c>
      <c r="I2" s="6">
        <v>2</v>
      </c>
      <c r="J2" s="6">
        <v>0</v>
      </c>
      <c r="K2" s="6">
        <v>0.6</v>
      </c>
      <c r="L2" s="7"/>
      <c r="M2" s="6">
        <v>7</v>
      </c>
      <c r="N2" s="12" t="s">
        <v>96</v>
      </c>
    </row>
    <row r="3" spans="1:14" x14ac:dyDescent="0.3">
      <c r="A3" s="8" t="s">
        <v>85</v>
      </c>
      <c r="B3" s="6" t="s">
        <v>76</v>
      </c>
      <c r="C3" s="13">
        <v>1154503</v>
      </c>
      <c r="D3" s="6">
        <v>73</v>
      </c>
      <c r="E3" s="6">
        <v>23.81</v>
      </c>
      <c r="F3" s="6">
        <v>3</v>
      </c>
      <c r="G3" s="6"/>
      <c r="H3" s="6">
        <v>1</v>
      </c>
      <c r="I3" s="6">
        <v>2</v>
      </c>
      <c r="J3" s="6">
        <v>2</v>
      </c>
      <c r="K3" s="6">
        <v>0.1</v>
      </c>
      <c r="L3" s="7"/>
      <c r="M3" s="6">
        <v>15</v>
      </c>
      <c r="N3" s="12" t="s">
        <v>96</v>
      </c>
    </row>
    <row r="4" spans="1:14" x14ac:dyDescent="0.3">
      <c r="A4" s="8" t="s">
        <v>86</v>
      </c>
      <c r="B4" s="6" t="s">
        <v>77</v>
      </c>
      <c r="C4" s="13">
        <v>1177617</v>
      </c>
      <c r="D4" s="6">
        <v>59</v>
      </c>
      <c r="E4" s="6">
        <v>47.19</v>
      </c>
      <c r="F4" s="6">
        <v>1</v>
      </c>
      <c r="G4" s="6"/>
      <c r="H4" s="6">
        <v>1</v>
      </c>
      <c r="I4" s="16">
        <v>2</v>
      </c>
      <c r="J4" s="6">
        <v>0</v>
      </c>
      <c r="K4" s="6">
        <v>1.1000000000000001</v>
      </c>
      <c r="L4" s="7"/>
      <c r="M4" s="6">
        <v>48</v>
      </c>
      <c r="N4" s="12" t="s">
        <v>96</v>
      </c>
    </row>
    <row r="5" spans="1:14" x14ac:dyDescent="0.3">
      <c r="A5" s="8" t="s">
        <v>87</v>
      </c>
      <c r="B5" s="6" t="s">
        <v>78</v>
      </c>
      <c r="C5" s="13">
        <v>1154884</v>
      </c>
      <c r="D5" s="6">
        <v>76</v>
      </c>
      <c r="E5" s="6">
        <v>29.84</v>
      </c>
      <c r="F5" s="6">
        <v>1</v>
      </c>
      <c r="G5" s="6"/>
      <c r="H5" s="6">
        <v>1</v>
      </c>
      <c r="I5" s="6">
        <v>2</v>
      </c>
      <c r="J5" s="6">
        <v>0</v>
      </c>
      <c r="K5" s="6">
        <v>0.2</v>
      </c>
      <c r="L5" s="7"/>
      <c r="M5" s="6">
        <v>7</v>
      </c>
      <c r="N5" s="12" t="s">
        <v>96</v>
      </c>
    </row>
    <row r="6" spans="1:14" x14ac:dyDescent="0.3">
      <c r="A6" s="8" t="s">
        <v>88</v>
      </c>
      <c r="B6" s="6" t="s">
        <v>79</v>
      </c>
      <c r="C6" s="13">
        <v>1207532</v>
      </c>
      <c r="D6" s="6">
        <v>77</v>
      </c>
      <c r="E6" s="6">
        <v>27.3</v>
      </c>
      <c r="F6" s="16">
        <v>3</v>
      </c>
      <c r="G6" s="6"/>
      <c r="H6" s="6">
        <v>1</v>
      </c>
      <c r="I6" s="6">
        <v>2</v>
      </c>
      <c r="J6" s="6">
        <v>1</v>
      </c>
      <c r="K6" s="6">
        <v>1.4</v>
      </c>
      <c r="L6" s="7"/>
      <c r="M6" s="6">
        <v>35</v>
      </c>
      <c r="N6" s="12" t="s">
        <v>96</v>
      </c>
    </row>
    <row r="7" spans="1:14" x14ac:dyDescent="0.3">
      <c r="A7" s="8" t="s">
        <v>89</v>
      </c>
      <c r="B7" s="6" t="s">
        <v>80</v>
      </c>
      <c r="C7" s="13">
        <v>1234800</v>
      </c>
      <c r="D7" s="6">
        <v>77</v>
      </c>
      <c r="E7" s="6">
        <v>26.45</v>
      </c>
      <c r="F7" s="16" t="s">
        <v>95</v>
      </c>
      <c r="G7" s="6"/>
      <c r="H7" s="6">
        <v>1</v>
      </c>
      <c r="I7" s="6">
        <v>2</v>
      </c>
      <c r="J7" s="6">
        <v>1</v>
      </c>
      <c r="K7" s="6">
        <v>0.5</v>
      </c>
      <c r="L7" s="7"/>
      <c r="M7" s="6">
        <v>28</v>
      </c>
      <c r="N7" s="12" t="s">
        <v>96</v>
      </c>
    </row>
    <row r="8" spans="1:14" x14ac:dyDescent="0.3">
      <c r="A8" s="8" t="s">
        <v>90</v>
      </c>
      <c r="B8" s="6" t="s">
        <v>81</v>
      </c>
      <c r="C8" s="13">
        <v>1160124</v>
      </c>
      <c r="D8" s="6">
        <v>84</v>
      </c>
      <c r="E8" s="6">
        <v>25.54</v>
      </c>
      <c r="F8" s="16">
        <v>1</v>
      </c>
      <c r="G8" s="6"/>
      <c r="H8" s="6">
        <v>1</v>
      </c>
      <c r="I8" s="6">
        <v>2</v>
      </c>
      <c r="J8" s="6">
        <v>0</v>
      </c>
      <c r="K8" s="6">
        <v>0.2</v>
      </c>
      <c r="L8" s="7"/>
      <c r="M8" s="6">
        <v>14</v>
      </c>
      <c r="N8" s="12" t="s">
        <v>96</v>
      </c>
    </row>
    <row r="9" spans="1:14" x14ac:dyDescent="0.3">
      <c r="A9" s="8" t="s">
        <v>91</v>
      </c>
      <c r="B9" s="15" t="s">
        <v>94</v>
      </c>
      <c r="C9" s="13">
        <v>1247334</v>
      </c>
      <c r="D9" s="6">
        <v>69</v>
      </c>
      <c r="E9" s="6">
        <v>28.12</v>
      </c>
      <c r="F9" s="16">
        <v>2</v>
      </c>
      <c r="G9" s="6"/>
      <c r="H9" s="6">
        <v>1</v>
      </c>
      <c r="I9" s="6">
        <v>2</v>
      </c>
      <c r="J9" s="6">
        <v>1</v>
      </c>
      <c r="K9" s="6">
        <v>0.1</v>
      </c>
      <c r="L9" s="7"/>
      <c r="M9" s="6">
        <v>6</v>
      </c>
      <c r="N9" s="12" t="s">
        <v>96</v>
      </c>
    </row>
    <row r="10" spans="1:14" x14ac:dyDescent="0.3">
      <c r="A10" s="8" t="s">
        <v>92</v>
      </c>
      <c r="B10" s="6" t="s">
        <v>82</v>
      </c>
      <c r="C10" s="13">
        <v>1199367</v>
      </c>
      <c r="D10" s="6">
        <v>64</v>
      </c>
      <c r="E10" s="6">
        <v>27.95</v>
      </c>
      <c r="F10" s="6">
        <v>1</v>
      </c>
      <c r="G10" s="6"/>
      <c r="H10" s="6">
        <v>1</v>
      </c>
      <c r="I10" s="6">
        <v>2</v>
      </c>
      <c r="J10" s="6">
        <v>0</v>
      </c>
      <c r="K10" s="6">
        <v>0.2</v>
      </c>
      <c r="L10" s="7"/>
      <c r="M10" s="6">
        <v>13</v>
      </c>
      <c r="N10" s="12" t="s">
        <v>96</v>
      </c>
    </row>
  </sheetData>
  <dataValidations xWindow="938" yWindow="226" count="5">
    <dataValidation allowBlank="1" showInputMessage="1" showErrorMessage="1" prompt="0-T0 7-T3_x000a_1-Ta 8-T3a_x000a_2-Tis 9-T3b_x000a_3-T1 10-T4_x000a_4-T2 11-T4a_x000a_5-T2a 12-T4b_x000a_6-T2b 13-Tx_x000a_" sqref="F1" xr:uid="{00000000-0002-0000-0000-00001C000000}"/>
    <dataValidation allowBlank="1" showInputMessage="1" showErrorMessage="1" prompt="0 - Unknown/Other_x000a_1 - White_x000a_2 - Black_x000a_3 - Asian_x000a_4 - Naïve Hawaiian/Pacific Islander_x000a_5 - American Indian/Alaskan Native" sqref="H1" xr:uid="{00000000-0002-0000-0000-000021000000}"/>
    <dataValidation allowBlank="1" showInputMessage="1" showErrorMessage="1" prompt="0 = T0     8 = T3a_x000a_1 = Ta      9 = T3b_x000a_2 = Tis      10 = T4_x000a_3 = T1      11 = T4a_x000a_4 = T2      12 = T4b_x000a_5 = T2a     13 = TX_x000a_6 = T2b     _x000a_7 = T3" sqref="G1:G1048576" xr:uid="{00000000-0002-0000-0000-000016000000}"/>
    <dataValidation allowBlank="1" showInputMessage="1" showErrorMessage="1" prompt="1 = Radical Cystectomy_x000a_2 = TURBT" sqref="I1:I1048576" xr:uid="{CD3F280F-85D1-254C-8AE5-90AE82D0BCEE}"/>
    <dataValidation allowBlank="1" showInputMessage="1" showErrorMessage="1" prompt="0 - Never Smoked_x000a_1 - Ever Smoked_x000a_2 - Current Smoker" sqref="J1:J1048576" xr:uid="{474D1087-1F4A-BA41-932B-9F2F0228F032}"/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"/>
  <sheetViews>
    <sheetView workbookViewId="0">
      <selection activeCell="A38" sqref="A38"/>
    </sheetView>
  </sheetViews>
  <sheetFormatPr baseColWidth="10" defaultColWidth="8.83203125" defaultRowHeight="15" x14ac:dyDescent="0.2"/>
  <cols>
    <col min="1" max="1" width="36.1640625" customWidth="1"/>
    <col min="2" max="2" width="24.83203125" customWidth="1"/>
    <col min="4" max="4" width="40.33203125" customWidth="1"/>
    <col min="5" max="5" width="25.5" customWidth="1"/>
  </cols>
  <sheetData>
    <row r="1" spans="1:5" x14ac:dyDescent="0.2">
      <c r="A1" t="s">
        <v>54</v>
      </c>
      <c r="D1" t="s">
        <v>55</v>
      </c>
    </row>
    <row r="2" spans="1:5" ht="19" x14ac:dyDescent="0.25">
      <c r="A2" s="2" t="s">
        <v>51</v>
      </c>
      <c r="B2" s="2" t="s">
        <v>52</v>
      </c>
      <c r="D2" s="1" t="s">
        <v>51</v>
      </c>
      <c r="E2" t="s">
        <v>52</v>
      </c>
    </row>
    <row r="3" spans="1:5" ht="19" x14ac:dyDescent="0.25">
      <c r="A3" s="1" t="s">
        <v>22</v>
      </c>
      <c r="B3" s="2">
        <v>0.147205077571504</v>
      </c>
      <c r="D3" s="1" t="s">
        <v>29</v>
      </c>
      <c r="E3" s="2">
        <v>0.242358851689562</v>
      </c>
    </row>
    <row r="4" spans="1:5" ht="19" x14ac:dyDescent="0.25">
      <c r="A4" s="1" t="s">
        <v>11</v>
      </c>
      <c r="B4" s="2">
        <v>0.119789496563663</v>
      </c>
      <c r="D4" s="1" t="s">
        <v>49</v>
      </c>
      <c r="E4" s="2">
        <v>0.220359022348977</v>
      </c>
    </row>
    <row r="5" spans="1:5" ht="19" x14ac:dyDescent="0.25">
      <c r="A5" s="1" t="s">
        <v>24</v>
      </c>
      <c r="B5" s="2">
        <v>0.10514321104560601</v>
      </c>
      <c r="D5" s="1" t="s">
        <v>34</v>
      </c>
      <c r="E5" s="2">
        <v>0.12927162766174899</v>
      </c>
    </row>
    <row r="6" spans="1:5" ht="19" x14ac:dyDescent="0.25">
      <c r="A6" s="1" t="s">
        <v>23</v>
      </c>
      <c r="B6" s="2">
        <v>0.10021767758442</v>
      </c>
      <c r="D6" s="1" t="s">
        <v>38</v>
      </c>
      <c r="E6" s="2">
        <v>0.116939315998766</v>
      </c>
    </row>
    <row r="7" spans="1:5" ht="19" x14ac:dyDescent="0.25">
      <c r="A7" s="2" t="s">
        <v>4</v>
      </c>
      <c r="B7" s="2">
        <v>8.0813242417597603E-2</v>
      </c>
      <c r="D7" s="1" t="s">
        <v>32</v>
      </c>
      <c r="E7" s="2">
        <v>0.116432392643449</v>
      </c>
    </row>
    <row r="8" spans="1:5" ht="19" x14ac:dyDescent="0.25">
      <c r="A8" s="1" t="s">
        <v>25</v>
      </c>
      <c r="B8" s="2">
        <v>6.5917387186326504E-2</v>
      </c>
      <c r="D8" s="1" t="s">
        <v>44</v>
      </c>
      <c r="E8" s="2">
        <v>0.114940221059601</v>
      </c>
    </row>
    <row r="9" spans="1:5" ht="19" x14ac:dyDescent="0.25">
      <c r="A9" s="1" t="s">
        <v>17</v>
      </c>
      <c r="B9" s="2">
        <v>5.8706289544214203E-2</v>
      </c>
      <c r="D9" s="1" t="s">
        <v>47</v>
      </c>
      <c r="E9" s="2">
        <v>0.10556093750784</v>
      </c>
    </row>
    <row r="10" spans="1:5" ht="19" x14ac:dyDescent="0.25">
      <c r="A10" s="2" t="s">
        <v>2</v>
      </c>
      <c r="B10" s="2">
        <v>4.8647374261852297E-2</v>
      </c>
      <c r="D10" s="1" t="s">
        <v>35</v>
      </c>
      <c r="E10" s="2">
        <v>0.101704895090131</v>
      </c>
    </row>
    <row r="11" spans="1:5" ht="19" x14ac:dyDescent="0.25">
      <c r="A11" s="1" t="s">
        <v>18</v>
      </c>
      <c r="B11" s="2">
        <v>4.4531788836696902E-2</v>
      </c>
      <c r="D11" s="1" t="s">
        <v>30</v>
      </c>
      <c r="E11" s="2">
        <v>9.4442391415576796E-2</v>
      </c>
    </row>
    <row r="12" spans="1:5" ht="19" x14ac:dyDescent="0.25">
      <c r="A12" s="1" t="s">
        <v>15</v>
      </c>
      <c r="B12" s="2">
        <v>4.3150978043654802E-2</v>
      </c>
      <c r="D12" s="1" t="s">
        <v>28</v>
      </c>
      <c r="E12" s="2">
        <v>9.2811319456967495E-2</v>
      </c>
    </row>
    <row r="13" spans="1:5" ht="19" x14ac:dyDescent="0.25">
      <c r="A13" s="1" t="s">
        <v>10</v>
      </c>
      <c r="B13" s="2">
        <v>3.7373182373182302E-2</v>
      </c>
      <c r="D13" s="1" t="s">
        <v>40</v>
      </c>
      <c r="E13" s="2">
        <v>8.6869815099242201E-2</v>
      </c>
    </row>
    <row r="14" spans="1:5" ht="19" x14ac:dyDescent="0.25">
      <c r="A14" s="1" t="s">
        <v>9</v>
      </c>
      <c r="B14" s="2">
        <v>2.5846820845849501E-2</v>
      </c>
      <c r="D14" s="1" t="s">
        <v>50</v>
      </c>
      <c r="E14" s="2">
        <v>7.6455878053470094E-2</v>
      </c>
    </row>
    <row r="15" spans="1:5" ht="19" x14ac:dyDescent="0.25">
      <c r="A15" s="1" t="s">
        <v>20</v>
      </c>
      <c r="B15" s="2">
        <v>2.0012600143454101E-2</v>
      </c>
      <c r="D15" s="1" t="s">
        <v>42</v>
      </c>
      <c r="E15" s="2">
        <v>7.3340770670261901E-2</v>
      </c>
    </row>
    <row r="16" spans="1:5" ht="19" x14ac:dyDescent="0.25">
      <c r="A16" s="1" t="s">
        <v>14</v>
      </c>
      <c r="B16" s="2">
        <v>1.83573300997543E-2</v>
      </c>
      <c r="D16" s="1" t="s">
        <v>26</v>
      </c>
      <c r="E16" s="2">
        <v>7.2482151718601104E-2</v>
      </c>
    </row>
    <row r="17" spans="1:5" ht="19" x14ac:dyDescent="0.25">
      <c r="A17" s="1" t="s">
        <v>16</v>
      </c>
      <c r="B17" s="2">
        <v>1.76199184279992E-2</v>
      </c>
      <c r="D17" s="1" t="s">
        <v>48</v>
      </c>
      <c r="E17" s="2">
        <v>6.6874800568063206E-2</v>
      </c>
    </row>
    <row r="18" spans="1:5" ht="19" x14ac:dyDescent="0.25">
      <c r="A18" s="1" t="s">
        <v>12</v>
      </c>
      <c r="B18" s="2">
        <v>1.7416482026871599E-2</v>
      </c>
      <c r="D18" s="1" t="s">
        <v>45</v>
      </c>
      <c r="E18" s="2">
        <v>6.2710499630459896E-2</v>
      </c>
    </row>
    <row r="19" spans="1:5" ht="19" x14ac:dyDescent="0.25">
      <c r="A19" s="1" t="s">
        <v>21</v>
      </c>
      <c r="B19" s="2">
        <v>1.55275805843987E-2</v>
      </c>
      <c r="D19" s="1" t="s">
        <v>46</v>
      </c>
      <c r="E19" s="2">
        <v>3.7690883800864897E-2</v>
      </c>
    </row>
    <row r="20" spans="1:5" ht="19" x14ac:dyDescent="0.25">
      <c r="A20" s="2" t="s">
        <v>1</v>
      </c>
      <c r="B20" s="2">
        <v>1.14644894947925E-2</v>
      </c>
      <c r="D20" s="1" t="s">
        <v>41</v>
      </c>
      <c r="E20" s="2">
        <v>3.4595395246525301E-2</v>
      </c>
    </row>
    <row r="21" spans="1:5" ht="19" x14ac:dyDescent="0.25">
      <c r="A21" s="2" t="s">
        <v>3</v>
      </c>
      <c r="B21" s="2">
        <v>8.4771826989457795E-3</v>
      </c>
      <c r="D21" s="1" t="s">
        <v>39</v>
      </c>
      <c r="E21" s="2">
        <v>1.9953348129267499E-2</v>
      </c>
    </row>
    <row r="22" spans="1:5" ht="19" x14ac:dyDescent="0.25">
      <c r="A22" s="1" t="s">
        <v>8</v>
      </c>
      <c r="B22" s="2">
        <v>6.2435168180117601E-3</v>
      </c>
      <c r="D22" s="1" t="s">
        <v>27</v>
      </c>
      <c r="E22" s="2">
        <v>9.1161164794473296E-3</v>
      </c>
    </row>
    <row r="23" spans="1:5" ht="19" x14ac:dyDescent="0.25">
      <c r="A23" s="1" t="s">
        <v>19</v>
      </c>
      <c r="B23" s="2">
        <v>3.4839402101033501E-3</v>
      </c>
      <c r="D23" s="1" t="s">
        <v>33</v>
      </c>
      <c r="E23" s="2">
        <v>6.7928184299559501E-3</v>
      </c>
    </row>
    <row r="24" spans="1:5" ht="19" x14ac:dyDescent="0.25">
      <c r="A24" s="2" t="s">
        <v>5</v>
      </c>
      <c r="B24" s="2">
        <v>2.1464646464646399E-3</v>
      </c>
      <c r="D24" s="1" t="s">
        <v>31</v>
      </c>
      <c r="E24" s="2">
        <v>0</v>
      </c>
    </row>
    <row r="25" spans="1:5" ht="19" x14ac:dyDescent="0.25">
      <c r="A25" s="2" t="s">
        <v>6</v>
      </c>
      <c r="B25" s="2">
        <v>1.9079685746352399E-3</v>
      </c>
      <c r="D25" s="1" t="s">
        <v>36</v>
      </c>
      <c r="E25" s="2">
        <v>0</v>
      </c>
    </row>
    <row r="26" spans="1:5" ht="19" x14ac:dyDescent="0.25">
      <c r="A26" s="1" t="s">
        <v>13</v>
      </c>
      <c r="B26" s="2">
        <v>0</v>
      </c>
      <c r="D26" s="1" t="s">
        <v>37</v>
      </c>
      <c r="E26" s="2">
        <v>0</v>
      </c>
    </row>
    <row r="27" spans="1:5" ht="19" x14ac:dyDescent="0.25">
      <c r="A27" s="1" t="s">
        <v>53</v>
      </c>
      <c r="B27" s="2">
        <v>0</v>
      </c>
      <c r="D27" s="1" t="s">
        <v>43</v>
      </c>
      <c r="E27" s="2">
        <v>0</v>
      </c>
    </row>
    <row r="29" spans="1:5" x14ac:dyDescent="0.2">
      <c r="B29">
        <f>SUM($B$3:$B$27)</f>
        <v>0.99999999999999822</v>
      </c>
    </row>
    <row r="30" spans="1:5" x14ac:dyDescent="0.2">
      <c r="E30">
        <f>SUM($E$3:$E$27)</f>
        <v>1.8817034526987788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5F26-AD37-6748-BBD3-332CC38D0C3E}">
  <dimension ref="A2:G29"/>
  <sheetViews>
    <sheetView workbookViewId="0">
      <selection activeCell="E36" sqref="E36"/>
    </sheetView>
  </sheetViews>
  <sheetFormatPr baseColWidth="10" defaultColWidth="10.83203125" defaultRowHeight="19" x14ac:dyDescent="0.25"/>
  <cols>
    <col min="1" max="1" width="37" style="2" customWidth="1"/>
    <col min="2" max="2" width="16.83203125" style="2" customWidth="1"/>
    <col min="3" max="5" width="17" style="2" customWidth="1"/>
    <col min="6" max="6" width="16.33203125" style="2" customWidth="1"/>
    <col min="7" max="7" width="18.33203125" style="2" customWidth="1"/>
    <col min="8" max="16384" width="10.83203125" style="2"/>
  </cols>
  <sheetData>
    <row r="2" spans="1:7" x14ac:dyDescent="0.25">
      <c r="A2" s="2" t="s">
        <v>56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57</v>
      </c>
    </row>
    <row r="3" spans="1:7" x14ac:dyDescent="0.25">
      <c r="A3" s="1" t="s">
        <v>22</v>
      </c>
      <c r="B3" s="2">
        <v>0.147205077571504</v>
      </c>
      <c r="C3" s="1">
        <v>0.11856139184803099</v>
      </c>
      <c r="D3" s="2">
        <v>0.13722977148089299</v>
      </c>
      <c r="E3" s="1">
        <v>9.5757818065772604E-2</v>
      </c>
      <c r="F3" s="1">
        <v>0.10599270046331701</v>
      </c>
      <c r="G3" s="2">
        <f>AVERAGE($B$3:$F$3)</f>
        <v>0.12094935188590353</v>
      </c>
    </row>
    <row r="4" spans="1:7" x14ac:dyDescent="0.25">
      <c r="A4" s="1" t="s">
        <v>11</v>
      </c>
      <c r="B4" s="2">
        <v>0.119789496563663</v>
      </c>
      <c r="C4" s="1">
        <v>7.5326724796913602E-2</v>
      </c>
      <c r="D4" s="2">
        <v>8.1250999683737696E-2</v>
      </c>
      <c r="E4" s="1">
        <v>0.15406135626838999</v>
      </c>
      <c r="F4" s="2">
        <v>7.2107773635695704E-2</v>
      </c>
      <c r="G4" s="2">
        <f>AVERAGE($B$4:$F$4)</f>
        <v>0.10050727018968</v>
      </c>
    </row>
    <row r="5" spans="1:7" x14ac:dyDescent="0.25">
      <c r="A5" s="1" t="s">
        <v>24</v>
      </c>
      <c r="B5" s="2">
        <v>0.10514321104560601</v>
      </c>
      <c r="C5" s="1">
        <v>9.7621724275310601E-2</v>
      </c>
      <c r="D5" s="2">
        <v>0.10539529812119</v>
      </c>
      <c r="E5" s="1">
        <v>6.3352961961078799E-2</v>
      </c>
      <c r="F5" s="1">
        <v>9.9824366521756594E-2</v>
      </c>
      <c r="G5" s="2">
        <f>AVERAGE($B$5:$F$5)</f>
        <v>9.42675123849884E-2</v>
      </c>
    </row>
    <row r="6" spans="1:7" x14ac:dyDescent="0.25">
      <c r="A6" s="1" t="s">
        <v>23</v>
      </c>
      <c r="B6" s="2">
        <v>0.10021767758442</v>
      </c>
      <c r="C6" s="1">
        <v>8.8066053186782595E-2</v>
      </c>
      <c r="D6" s="2">
        <v>0.114698974534826</v>
      </c>
      <c r="E6" s="1">
        <v>0.102957442275368</v>
      </c>
      <c r="F6" s="1">
        <v>9.4741689527403694E-2</v>
      </c>
      <c r="G6" s="2">
        <f>AVERAGE($B$6:$F$6)</f>
        <v>0.10013636742176005</v>
      </c>
    </row>
    <row r="7" spans="1:7" x14ac:dyDescent="0.25">
      <c r="A7" s="2" t="s">
        <v>4</v>
      </c>
      <c r="B7" s="2">
        <v>8.0813242417597603E-2</v>
      </c>
      <c r="C7" s="1">
        <v>7.5538920488415401E-2</v>
      </c>
      <c r="D7" s="2">
        <v>8.2305227768864106E-2</v>
      </c>
      <c r="E7" s="1">
        <v>9.4453875919054506E-2</v>
      </c>
      <c r="F7" s="1">
        <v>8.0519949095132201E-2</v>
      </c>
      <c r="G7" s="2">
        <f>AVERAGE($B$7:$F$7)</f>
        <v>8.2726243137812766E-2</v>
      </c>
    </row>
    <row r="8" spans="1:7" x14ac:dyDescent="0.25">
      <c r="A8" s="1" t="s">
        <v>25</v>
      </c>
      <c r="B8" s="2">
        <v>6.5917387186326504E-2</v>
      </c>
      <c r="C8" s="1">
        <v>5.3222601927001498E-2</v>
      </c>
      <c r="D8" s="2">
        <v>5.82474565117422E-2</v>
      </c>
      <c r="E8" s="1">
        <v>5.6515519089896799E-2</v>
      </c>
      <c r="F8" s="1">
        <v>5.3540258178569798E-2</v>
      </c>
      <c r="G8" s="2">
        <f>AVERAGE($B$8:$F$8)</f>
        <v>5.7488644578707358E-2</v>
      </c>
    </row>
    <row r="9" spans="1:7" x14ac:dyDescent="0.25">
      <c r="A9" s="1" t="s">
        <v>17</v>
      </c>
      <c r="B9" s="2">
        <v>5.8706289544214203E-2</v>
      </c>
      <c r="C9" s="1">
        <v>7.0995451825411005E-2</v>
      </c>
      <c r="D9" s="2">
        <v>6.5368589965830198E-2</v>
      </c>
      <c r="E9" s="1">
        <v>5.60703687694072E-2</v>
      </c>
      <c r="F9" s="1">
        <v>5.5114468243566202E-2</v>
      </c>
      <c r="G9" s="2">
        <f>AVERAGE($B$9:$F$9)</f>
        <v>6.1251033669685762E-2</v>
      </c>
    </row>
    <row r="10" spans="1:7" x14ac:dyDescent="0.25">
      <c r="A10" s="2" t="s">
        <v>2</v>
      </c>
      <c r="B10" s="2">
        <v>4.8647374261852297E-2</v>
      </c>
      <c r="C10" s="2">
        <v>5.5147294323635597E-2</v>
      </c>
      <c r="D10" s="2">
        <v>4.0663687112550702E-2</v>
      </c>
      <c r="E10" s="1">
        <v>4.4074527748986597E-2</v>
      </c>
      <c r="F10" s="1">
        <v>5.3532115725476503E-2</v>
      </c>
      <c r="G10" s="2">
        <f>AVERAGE($B$10:$F$10)</f>
        <v>4.8412999834500335E-2</v>
      </c>
    </row>
    <row r="11" spans="1:7" x14ac:dyDescent="0.25">
      <c r="A11" s="1" t="s">
        <v>18</v>
      </c>
      <c r="B11" s="2">
        <v>4.4531788836696902E-2</v>
      </c>
      <c r="C11" s="1">
        <v>7.5504734618791799E-2</v>
      </c>
      <c r="D11" s="2">
        <v>5.95142944234789E-2</v>
      </c>
      <c r="E11" s="1">
        <v>5.6303186099614599E-2</v>
      </c>
      <c r="F11" s="1">
        <v>5.6191874080335602E-2</v>
      </c>
      <c r="G11" s="2">
        <f>AVERAGE($B$11:$F$11)</f>
        <v>5.8409175611783562E-2</v>
      </c>
    </row>
    <row r="12" spans="1:7" x14ac:dyDescent="0.25">
      <c r="A12" s="1" t="s">
        <v>15</v>
      </c>
      <c r="B12" s="2">
        <v>4.3150978043654802E-2</v>
      </c>
      <c r="C12" s="1">
        <v>5.15817043973609E-2</v>
      </c>
      <c r="D12" s="2">
        <v>7.7330649674399607E-2</v>
      </c>
      <c r="E12" s="1">
        <v>9.1675421117682995E-2</v>
      </c>
      <c r="F12" s="1">
        <v>6.9462163200555996E-2</v>
      </c>
      <c r="G12" s="2">
        <f>AVERAGE($B$12:$F$12)</f>
        <v>6.6640183286730853E-2</v>
      </c>
    </row>
    <row r="13" spans="1:7" x14ac:dyDescent="0.25">
      <c r="A13" s="1" t="s">
        <v>10</v>
      </c>
      <c r="B13" s="2">
        <v>3.7373182373182302E-2</v>
      </c>
      <c r="C13" s="1">
        <v>3.7265414720566797E-2</v>
      </c>
      <c r="D13" s="2">
        <v>4.3122241079627401E-2</v>
      </c>
      <c r="E13" s="1">
        <v>3.8109622024800498E-2</v>
      </c>
      <c r="F13" s="1">
        <v>6.6923789594244096E-2</v>
      </c>
      <c r="G13" s="2">
        <f>AVERAGE($B$13:$F$13)</f>
        <v>4.4558849958484213E-2</v>
      </c>
    </row>
    <row r="14" spans="1:7" x14ac:dyDescent="0.25">
      <c r="A14" s="1" t="s">
        <v>9</v>
      </c>
      <c r="B14" s="2">
        <v>2.5846820845849501E-2</v>
      </c>
      <c r="C14" s="2">
        <v>3.1502275657268299E-2</v>
      </c>
      <c r="D14" s="2">
        <v>2.3439219252368599E-2</v>
      </c>
      <c r="E14" s="1">
        <v>1.7655064380064301E-2</v>
      </c>
      <c r="F14" s="1">
        <v>2.6104267365630901E-2</v>
      </c>
      <c r="G14" s="2">
        <f>AVERAGE($B$14:$F$14)</f>
        <v>2.4909529500236317E-2</v>
      </c>
    </row>
    <row r="15" spans="1:7" x14ac:dyDescent="0.25">
      <c r="A15" s="1" t="s">
        <v>20</v>
      </c>
      <c r="B15" s="2">
        <v>2.0012600143454101E-2</v>
      </c>
      <c r="C15" s="1">
        <v>9.9421622148894804E-3</v>
      </c>
      <c r="D15" s="2">
        <v>1.34847421097421E-2</v>
      </c>
      <c r="E15" s="1">
        <v>7.1783910533910504E-3</v>
      </c>
      <c r="F15" s="1">
        <v>1.14907079032079E-2</v>
      </c>
      <c r="G15" s="2">
        <f>AVERAGE($B$15:$F$15)</f>
        <v>1.2421720684936926E-2</v>
      </c>
    </row>
    <row r="16" spans="1:7" x14ac:dyDescent="0.25">
      <c r="A16" s="1" t="s">
        <v>14</v>
      </c>
      <c r="B16" s="2">
        <v>1.83573300997543E-2</v>
      </c>
      <c r="C16" s="1">
        <v>3.4930163477449497E-2</v>
      </c>
      <c r="D16" s="2">
        <v>1.7564529220779199E-2</v>
      </c>
      <c r="E16" s="1">
        <v>4.3416948197305301E-2</v>
      </c>
      <c r="F16" s="1">
        <v>3.6602207003923998E-2</v>
      </c>
      <c r="G16" s="2">
        <f>AVERAGE($B$16:$F$16)</f>
        <v>3.0174235599842458E-2</v>
      </c>
    </row>
    <row r="17" spans="1:7" x14ac:dyDescent="0.25">
      <c r="A17" s="1" t="s">
        <v>16</v>
      </c>
      <c r="B17" s="2">
        <v>1.76199184279992E-2</v>
      </c>
      <c r="C17" s="2">
        <v>2.4730184237759901E-2</v>
      </c>
      <c r="D17" s="2">
        <v>1.94009447623083E-2</v>
      </c>
      <c r="E17" s="1">
        <v>1.59075781361495E-2</v>
      </c>
      <c r="F17" s="1">
        <v>1.26835525585525E-2</v>
      </c>
      <c r="G17" s="2">
        <f>AVERAGE($B$17:$F$17)</f>
        <v>1.8068435624553882E-2</v>
      </c>
    </row>
    <row r="18" spans="1:7" x14ac:dyDescent="0.25">
      <c r="A18" s="1" t="s">
        <v>12</v>
      </c>
      <c r="B18" s="2">
        <v>1.7416482026871599E-2</v>
      </c>
      <c r="C18" s="1">
        <v>5.9000721500721501E-3</v>
      </c>
      <c r="D18" s="2">
        <v>6.8903846153846099E-3</v>
      </c>
      <c r="E18" s="1">
        <v>2.2695578231292498E-3</v>
      </c>
      <c r="F18" s="1">
        <v>1.2359695859695799E-2</v>
      </c>
      <c r="G18" s="2">
        <f>AVERAGE($B$18:$F$18)</f>
        <v>8.967238495030682E-3</v>
      </c>
    </row>
    <row r="19" spans="1:7" x14ac:dyDescent="0.25">
      <c r="A19" s="1" t="s">
        <v>21</v>
      </c>
      <c r="B19" s="2">
        <v>1.55275805843987E-2</v>
      </c>
      <c r="C19" s="2">
        <v>3.2604880155385103E-2</v>
      </c>
      <c r="D19" s="2">
        <v>1.49797847985347E-2</v>
      </c>
      <c r="E19" s="1">
        <v>1.50340492840492E-2</v>
      </c>
      <c r="F19" s="1">
        <v>2.9016037203537199E-2</v>
      </c>
      <c r="G19" s="2">
        <f>AVERAGE($B$19:$F$19)</f>
        <v>2.143246640518098E-2</v>
      </c>
    </row>
    <row r="20" spans="1:7" x14ac:dyDescent="0.25">
      <c r="A20" s="2" t="s">
        <v>1</v>
      </c>
      <c r="B20" s="2">
        <v>1.14644894947925E-2</v>
      </c>
      <c r="C20" s="1">
        <v>5.4220115117551001E-3</v>
      </c>
      <c r="D20" s="2">
        <v>1.2697233090982999E-2</v>
      </c>
      <c r="E20" s="1">
        <v>1.1479503829503799E-2</v>
      </c>
      <c r="F20" s="1">
        <v>1.36048262160441E-2</v>
      </c>
      <c r="G20" s="2">
        <f>AVERAGE($B$20:$F$20)</f>
        <v>1.0933612828615701E-2</v>
      </c>
    </row>
    <row r="21" spans="1:7" x14ac:dyDescent="0.25">
      <c r="A21" s="2" t="s">
        <v>3</v>
      </c>
      <c r="B21" s="2">
        <v>8.4771826989457795E-3</v>
      </c>
      <c r="C21" s="2">
        <v>2.3029045869954901E-2</v>
      </c>
      <c r="D21" s="2">
        <v>2.0472308974094602E-2</v>
      </c>
      <c r="E21" s="1">
        <v>1.5617923049173E-2</v>
      </c>
      <c r="F21" s="1">
        <v>1.90244422244422E-2</v>
      </c>
      <c r="G21" s="2">
        <f>AVERAGE($B$21:$F$21)</f>
        <v>1.7324180563322099E-2</v>
      </c>
    </row>
    <row r="22" spans="1:7" x14ac:dyDescent="0.25">
      <c r="A22" s="1" t="s">
        <v>8</v>
      </c>
      <c r="B22" s="2">
        <v>6.2435168180117601E-3</v>
      </c>
      <c r="C22" s="1">
        <v>1.5132019546619999E-2</v>
      </c>
      <c r="D22" s="2">
        <v>0</v>
      </c>
      <c r="E22" s="1">
        <v>1.6928329351624801E-2</v>
      </c>
      <c r="F22" s="1">
        <v>1.0479775590571E-2</v>
      </c>
      <c r="G22" s="2">
        <f>AVERAGE($B$22:$F$22)</f>
        <v>9.7567282613655118E-3</v>
      </c>
    </row>
    <row r="23" spans="1:7" x14ac:dyDescent="0.25">
      <c r="A23" s="1" t="s">
        <v>19</v>
      </c>
      <c r="B23" s="2">
        <v>3.4839402101033501E-3</v>
      </c>
      <c r="C23" s="2">
        <v>1.24608836730048E-2</v>
      </c>
      <c r="D23" s="2">
        <v>3.8830567580567499E-3</v>
      </c>
      <c r="E23" s="1">
        <v>1.1805555555555499E-3</v>
      </c>
      <c r="F23" s="1">
        <v>1.3321516446516401E-2</v>
      </c>
      <c r="G23" s="2">
        <f>AVERAGE($B$23:$F$23)</f>
        <v>6.8659905286473696E-3</v>
      </c>
    </row>
    <row r="24" spans="1:7" x14ac:dyDescent="0.25">
      <c r="A24" s="2" t="s">
        <v>5</v>
      </c>
      <c r="B24" s="2">
        <v>2.1464646464646399E-3</v>
      </c>
      <c r="C24" s="2">
        <v>3.9879102379102296E-3</v>
      </c>
      <c r="D24" s="2">
        <v>1.41666666666666E-3</v>
      </c>
      <c r="E24" s="2">
        <v>0</v>
      </c>
      <c r="F24" s="1">
        <v>6.2579272579272498E-3</v>
      </c>
      <c r="G24" s="2">
        <f>AVERAGE($B$24:$F$24)</f>
        <v>2.7617937617937559E-3</v>
      </c>
    </row>
    <row r="25" spans="1:7" x14ac:dyDescent="0.25">
      <c r="A25" s="2" t="s">
        <v>6</v>
      </c>
      <c r="B25" s="2">
        <v>1.9079685746352399E-3</v>
      </c>
      <c r="C25" s="2">
        <v>1.5263748597081901E-3</v>
      </c>
      <c r="D25" s="2">
        <v>6.4393939393939397E-4</v>
      </c>
      <c r="E25" s="2">
        <v>0</v>
      </c>
      <c r="F25" s="1">
        <v>1.1038961038961001E-3</v>
      </c>
      <c r="G25" s="2">
        <f>AVERAGE($B$25:$F$25)</f>
        <v>1.0364357864357848E-3</v>
      </c>
    </row>
    <row r="26" spans="1:7" x14ac:dyDescent="0.25">
      <c r="A26" s="1" t="s">
        <v>13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f>AVERAGE($B$26:$F$26)</f>
        <v>0</v>
      </c>
    </row>
    <row r="27" spans="1:7" x14ac:dyDescent="0.25">
      <c r="A27" s="1" t="s">
        <v>53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f>AVERAGE($B$27:$F$27)</f>
        <v>0</v>
      </c>
    </row>
    <row r="29" spans="1:7" x14ac:dyDescent="0.25">
      <c r="B29" s="2">
        <f>SUM($B$3:$B$27)</f>
        <v>0.99999999999999822</v>
      </c>
      <c r="C29" s="2">
        <f>SUM($C$3:$C$27)</f>
        <v>0.99999999999999845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28615-0F5B-5141-BEC3-2FE407AD482F}">
  <dimension ref="A2:K29"/>
  <sheetViews>
    <sheetView workbookViewId="0">
      <selection activeCell="F32" sqref="F32"/>
    </sheetView>
  </sheetViews>
  <sheetFormatPr baseColWidth="10" defaultColWidth="10.83203125" defaultRowHeight="19" x14ac:dyDescent="0.25"/>
  <cols>
    <col min="1" max="1" width="35.1640625" style="2" customWidth="1"/>
    <col min="2" max="2" width="14.6640625" style="2" customWidth="1"/>
    <col min="3" max="4" width="13.33203125" style="2" customWidth="1"/>
    <col min="5" max="5" width="13.5" style="2" customWidth="1"/>
    <col min="6" max="6" width="13.33203125" style="2" customWidth="1"/>
    <col min="7" max="8" width="13.6640625" style="2" customWidth="1"/>
    <col min="9" max="9" width="13.1640625" style="2" customWidth="1"/>
    <col min="10" max="11" width="13.33203125" style="2" customWidth="1"/>
    <col min="12" max="16384" width="10.83203125" style="2"/>
  </cols>
  <sheetData>
    <row r="2" spans="1:11" x14ac:dyDescent="0.25">
      <c r="A2" s="2" t="s">
        <v>56</v>
      </c>
      <c r="B2" s="2" t="s">
        <v>58</v>
      </c>
      <c r="C2" s="2" t="s">
        <v>59</v>
      </c>
      <c r="D2" s="2" t="s">
        <v>60</v>
      </c>
      <c r="E2" s="2" t="s">
        <v>61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  <c r="K2" s="2" t="s">
        <v>67</v>
      </c>
    </row>
    <row r="3" spans="1:11" x14ac:dyDescent="0.25">
      <c r="A3" s="1" t="s">
        <v>22</v>
      </c>
      <c r="B3" s="2">
        <v>0.12166100406227499</v>
      </c>
      <c r="C3" s="1">
        <v>0.138374358553364</v>
      </c>
      <c r="D3" s="2">
        <v>8.7158797909272404E-2</v>
      </c>
      <c r="E3" s="1">
        <v>0.147205077571504</v>
      </c>
      <c r="F3" s="1">
        <v>0.13171473453794799</v>
      </c>
      <c r="G3" s="1">
        <v>0.140504823913706</v>
      </c>
      <c r="H3" s="1">
        <v>7.6976730718776101E-2</v>
      </c>
      <c r="I3" s="1">
        <v>0.160956336975422</v>
      </c>
      <c r="J3" s="1">
        <v>0.10524474596171</v>
      </c>
      <c r="K3" s="1">
        <v>0.16421680105345701</v>
      </c>
    </row>
    <row r="4" spans="1:11" x14ac:dyDescent="0.25">
      <c r="A4" s="1" t="s">
        <v>11</v>
      </c>
      <c r="B4" s="2">
        <v>4.5894009694009599E-2</v>
      </c>
      <c r="C4" s="1">
        <v>5.8347703222703197E-2</v>
      </c>
      <c r="D4" s="2">
        <v>6.5812801781551702E-2</v>
      </c>
      <c r="E4" s="1">
        <v>0.119789496563663</v>
      </c>
      <c r="F4" s="2">
        <v>6.22787933847457E-2</v>
      </c>
      <c r="G4" s="2">
        <v>5.72836619010237E-2</v>
      </c>
      <c r="H4" s="2">
        <v>8.3539874014874005E-2</v>
      </c>
      <c r="I4" s="2">
        <v>6.6498896472202307E-2</v>
      </c>
      <c r="J4" s="2">
        <v>0.116870876517061</v>
      </c>
      <c r="K4" s="2">
        <v>7.5142022878095696E-2</v>
      </c>
    </row>
    <row r="5" spans="1:11" x14ac:dyDescent="0.25">
      <c r="A5" s="1" t="s">
        <v>24</v>
      </c>
      <c r="B5" s="2">
        <v>8.8365551219663704E-2</v>
      </c>
      <c r="C5" s="1">
        <v>7.0495249387457104E-2</v>
      </c>
      <c r="D5" s="2">
        <v>9.4175992276953793E-2</v>
      </c>
      <c r="E5" s="1">
        <v>0.10514321104560601</v>
      </c>
      <c r="F5" s="1">
        <v>8.0545712224283597E-2</v>
      </c>
      <c r="G5" s="1">
        <v>7.4589594753588895E-2</v>
      </c>
      <c r="H5" s="1">
        <v>7.7436982153648803E-2</v>
      </c>
      <c r="I5" s="1">
        <v>8.2282923449806505E-2</v>
      </c>
      <c r="J5" s="1">
        <v>0.11320990868021499</v>
      </c>
      <c r="K5" s="1">
        <v>0.107421975314793</v>
      </c>
    </row>
    <row r="6" spans="1:11" x14ac:dyDescent="0.25">
      <c r="A6" s="1" t="s">
        <v>23</v>
      </c>
      <c r="B6" s="2">
        <v>0.11868407010658</v>
      </c>
      <c r="C6" s="1">
        <v>0.19675980655824901</v>
      </c>
      <c r="D6" s="2">
        <v>7.16010690247703E-2</v>
      </c>
      <c r="E6" s="1">
        <v>0.10021767758442</v>
      </c>
      <c r="F6" s="1">
        <v>9.6145493043343105E-2</v>
      </c>
      <c r="G6" s="1">
        <v>0.18562346151954201</v>
      </c>
      <c r="H6" s="1">
        <v>0.160429397874852</v>
      </c>
      <c r="I6" s="1">
        <v>7.9756414859391001E-2</v>
      </c>
      <c r="J6" s="1">
        <v>0.129628908964735</v>
      </c>
      <c r="K6" s="1">
        <v>6.4073643574906206E-2</v>
      </c>
    </row>
    <row r="7" spans="1:11" x14ac:dyDescent="0.25">
      <c r="A7" s="2" t="s">
        <v>4</v>
      </c>
      <c r="B7" s="2">
        <v>0.108901821020489</v>
      </c>
      <c r="C7" s="1">
        <v>8.4636639148489803E-2</v>
      </c>
      <c r="D7" s="2">
        <v>0.13273246390153801</v>
      </c>
      <c r="E7" s="1">
        <v>8.0813242417597603E-2</v>
      </c>
      <c r="F7" s="1">
        <v>0.118552761786473</v>
      </c>
      <c r="G7" s="1">
        <v>7.4553631171239698E-2</v>
      </c>
      <c r="H7" s="1">
        <v>8.4875199489863995E-2</v>
      </c>
      <c r="I7" s="1">
        <v>8.3081736030924294E-2</v>
      </c>
      <c r="J7" s="1">
        <v>7.8358019577593793E-2</v>
      </c>
      <c r="K7" s="1">
        <v>0.104455901836665</v>
      </c>
    </row>
    <row r="8" spans="1:11" x14ac:dyDescent="0.25">
      <c r="A8" s="1" t="s">
        <v>25</v>
      </c>
      <c r="B8" s="2">
        <v>0.117789693815884</v>
      </c>
      <c r="C8" s="1">
        <v>3.16713849642421E-2</v>
      </c>
      <c r="D8" s="2">
        <v>9.8422440615541201E-2</v>
      </c>
      <c r="E8" s="1">
        <v>6.5917387186326504E-2</v>
      </c>
      <c r="F8" s="1">
        <v>4.5796700719914998E-2</v>
      </c>
      <c r="G8" s="1">
        <v>2.8834252482211602E-2</v>
      </c>
      <c r="H8" s="1">
        <v>5.49109686609686E-3</v>
      </c>
      <c r="I8" s="1">
        <v>7.5723853527424903E-2</v>
      </c>
      <c r="J8" s="1">
        <v>5.5071115954151602E-2</v>
      </c>
      <c r="K8" s="1">
        <v>5.7903191870474498E-2</v>
      </c>
    </row>
    <row r="9" spans="1:11" x14ac:dyDescent="0.25">
      <c r="A9" s="1" t="s">
        <v>17</v>
      </c>
      <c r="B9" s="2">
        <v>2.3837740037740002E-2</v>
      </c>
      <c r="C9" s="1">
        <v>3.1362318765890101E-2</v>
      </c>
      <c r="D9" s="2">
        <v>6.8501870856993802E-2</v>
      </c>
      <c r="E9" s="1">
        <v>5.8706289544214203E-2</v>
      </c>
      <c r="F9" s="1">
        <v>6.2353282987455003E-2</v>
      </c>
      <c r="G9" s="1">
        <v>3.9768164339349897E-2</v>
      </c>
      <c r="H9" s="1">
        <v>9.1183087160185E-2</v>
      </c>
      <c r="I9" s="1">
        <v>4.8333491739741698E-2</v>
      </c>
      <c r="J9" s="1">
        <v>3.6755180071251503E-2</v>
      </c>
      <c r="K9" s="1">
        <v>3.0119257195320801E-2</v>
      </c>
    </row>
    <row r="10" spans="1:11" x14ac:dyDescent="0.25">
      <c r="A10" s="2" t="s">
        <v>2</v>
      </c>
      <c r="B10" s="2">
        <v>5.7690833423030302E-2</v>
      </c>
      <c r="C10" s="2">
        <v>3.1743678571708803E-2</v>
      </c>
      <c r="D10" s="2">
        <v>6.2867334060840496E-2</v>
      </c>
      <c r="E10" s="1">
        <v>4.8647374261852297E-2</v>
      </c>
      <c r="F10" s="1">
        <v>3.3364387926887902E-2</v>
      </c>
      <c r="G10" s="1">
        <v>1.8908880707350001E-2</v>
      </c>
      <c r="H10" s="1">
        <v>2.49851691145647E-2</v>
      </c>
      <c r="I10" s="1">
        <v>7.7144908749860006E-2</v>
      </c>
      <c r="J10" s="1">
        <v>6.3130768448923194E-2</v>
      </c>
      <c r="K10" s="1">
        <v>6.82404954369185E-2</v>
      </c>
    </row>
    <row r="11" spans="1:11" x14ac:dyDescent="0.25">
      <c r="A11" s="1" t="s">
        <v>18</v>
      </c>
      <c r="B11" s="2">
        <v>3.5514694153018299E-2</v>
      </c>
      <c r="C11" s="1">
        <v>3.1729523120069998E-2</v>
      </c>
      <c r="D11" s="2">
        <v>4.6303184259777599E-2</v>
      </c>
      <c r="E11" s="1">
        <v>4.4531788836696902E-2</v>
      </c>
      <c r="F11" s="1">
        <v>4.9505563153777403E-2</v>
      </c>
      <c r="G11" s="1">
        <v>7.1045108166075996E-2</v>
      </c>
      <c r="H11" s="1">
        <v>7.3039505963613097E-2</v>
      </c>
      <c r="I11" s="1">
        <v>5.2201714573305399E-2</v>
      </c>
      <c r="J11" s="1">
        <v>3.0279244829244802E-2</v>
      </c>
      <c r="K11" s="1">
        <v>2.51243295648385E-2</v>
      </c>
    </row>
    <row r="12" spans="1:11" x14ac:dyDescent="0.25">
      <c r="A12" s="1" t="s">
        <v>15</v>
      </c>
      <c r="B12" s="2">
        <v>6.0965612782279403E-2</v>
      </c>
      <c r="C12" s="1">
        <v>0.12591989801324199</v>
      </c>
      <c r="D12" s="2">
        <v>8.86826777206772E-2</v>
      </c>
      <c r="E12" s="1">
        <v>4.3150978043654802E-2</v>
      </c>
      <c r="F12" s="1">
        <v>5.0695502876752799E-2</v>
      </c>
      <c r="G12" s="1">
        <v>0.10001543609901201</v>
      </c>
      <c r="H12" s="1">
        <v>9.4644372115409395E-2</v>
      </c>
      <c r="I12" s="1">
        <v>7.1753381671238806E-2</v>
      </c>
      <c r="J12" s="1">
        <v>6.2053265847908698E-2</v>
      </c>
      <c r="K12" s="1">
        <v>5.1560634731630403E-2</v>
      </c>
    </row>
    <row r="13" spans="1:11" x14ac:dyDescent="0.25">
      <c r="A13" s="1" t="s">
        <v>10</v>
      </c>
      <c r="B13" s="2">
        <v>3.0123876123876101E-2</v>
      </c>
      <c r="C13" s="1">
        <v>3.9502170745920703E-2</v>
      </c>
      <c r="D13" s="2">
        <v>5.7384670884670797E-3</v>
      </c>
      <c r="E13" s="1">
        <v>3.7373182373182302E-2</v>
      </c>
      <c r="F13" s="1">
        <v>1.20973821152392E-2</v>
      </c>
      <c r="G13" s="1">
        <v>3.1277091335400298E-2</v>
      </c>
      <c r="H13" s="1">
        <v>6.4176923076923006E-2</v>
      </c>
      <c r="I13" s="1">
        <v>1.25339105339105E-2</v>
      </c>
      <c r="J13" s="1">
        <v>2.7794460433746102E-2</v>
      </c>
      <c r="K13" s="1">
        <v>1.1170835337502001E-2</v>
      </c>
    </row>
    <row r="14" spans="1:11" x14ac:dyDescent="0.25">
      <c r="A14" s="1" t="s">
        <v>9</v>
      </c>
      <c r="B14" s="2">
        <v>1.5494182977516299E-2</v>
      </c>
      <c r="C14" s="2">
        <v>6.2193156050298903E-3</v>
      </c>
      <c r="D14" s="2">
        <v>1.5662406823945201E-2</v>
      </c>
      <c r="E14" s="1">
        <v>2.5846820845849501E-2</v>
      </c>
      <c r="F14" s="1">
        <v>1.7180741943241901E-2</v>
      </c>
      <c r="G14" s="1">
        <v>1.19972585649765E-2</v>
      </c>
      <c r="H14" s="1">
        <v>4.2486502694836E-3</v>
      </c>
      <c r="I14" s="1">
        <v>3.7226011027705098E-2</v>
      </c>
      <c r="J14" s="1">
        <v>2.5628475046278E-2</v>
      </c>
      <c r="K14" s="1">
        <v>2.9832840720286601E-2</v>
      </c>
    </row>
    <row r="15" spans="1:11" x14ac:dyDescent="0.25">
      <c r="A15" s="1" t="s">
        <v>20</v>
      </c>
      <c r="B15" s="2">
        <v>1.5922179672179598E-2</v>
      </c>
      <c r="C15" s="1">
        <v>1.3939660339660299E-2</v>
      </c>
      <c r="D15" s="2">
        <v>1.03209175084175E-2</v>
      </c>
      <c r="E15" s="1">
        <v>2.0012600143454101E-2</v>
      </c>
      <c r="F15" s="1">
        <v>7.4797722119150697E-3</v>
      </c>
      <c r="G15" s="1">
        <v>2.66875981161695E-3</v>
      </c>
      <c r="H15" s="1">
        <v>1.30705875321259E-2</v>
      </c>
      <c r="I15" s="1">
        <v>1.66796814296814E-2</v>
      </c>
      <c r="J15" s="1">
        <v>2.83882783882783E-3</v>
      </c>
      <c r="K15" s="1">
        <v>2.7290925853936901E-2</v>
      </c>
    </row>
    <row r="16" spans="1:11" x14ac:dyDescent="0.25">
      <c r="A16" s="1" t="s">
        <v>14</v>
      </c>
      <c r="B16" s="2">
        <v>3.00481304519995E-2</v>
      </c>
      <c r="C16" s="1">
        <v>2.4415263440263402E-2</v>
      </c>
      <c r="D16" s="2">
        <v>2.08418986074143E-2</v>
      </c>
      <c r="E16" s="1">
        <v>1.83573300997543E-2</v>
      </c>
      <c r="F16" s="1">
        <v>0.101651530361743</v>
      </c>
      <c r="G16" s="1">
        <v>2.7394377164785301E-2</v>
      </c>
      <c r="H16" s="1">
        <v>2.54071865876935E-2</v>
      </c>
      <c r="I16" s="1">
        <v>3.4258793633106799E-2</v>
      </c>
      <c r="J16" s="1">
        <v>2.2348273966293401E-2</v>
      </c>
      <c r="K16" s="1">
        <v>3.4747466338375402E-2</v>
      </c>
    </row>
    <row r="17" spans="1:11" x14ac:dyDescent="0.25">
      <c r="A17" s="1" t="s">
        <v>16</v>
      </c>
      <c r="B17" s="2">
        <v>3.0744280470242E-2</v>
      </c>
      <c r="C17" s="2">
        <v>2.0505255161505101E-2</v>
      </c>
      <c r="D17" s="2">
        <v>2.46606046070331E-2</v>
      </c>
      <c r="E17" s="1">
        <v>1.76199184279992E-2</v>
      </c>
      <c r="F17" s="1">
        <v>3.4681620183337203E-2</v>
      </c>
      <c r="G17" s="1">
        <v>9.5820429165910208E-3</v>
      </c>
      <c r="H17" s="1">
        <v>7.7706487956487897E-3</v>
      </c>
      <c r="I17" s="1">
        <v>7.3122764581097901E-3</v>
      </c>
      <c r="J17" s="1">
        <v>1.7455525735287601E-2</v>
      </c>
      <c r="K17" s="1">
        <v>3.1682840868446902E-2</v>
      </c>
    </row>
    <row r="18" spans="1:11" x14ac:dyDescent="0.25">
      <c r="A18" s="1" t="s">
        <v>12</v>
      </c>
      <c r="B18" s="2">
        <v>2.9078939452803002E-2</v>
      </c>
      <c r="C18" s="1">
        <v>0</v>
      </c>
      <c r="D18" s="2">
        <v>0</v>
      </c>
      <c r="E18" s="1">
        <v>1.7416482026871599E-2</v>
      </c>
      <c r="F18" s="1">
        <v>1.2197670973807299E-2</v>
      </c>
      <c r="G18" s="1">
        <v>2.8093337461048799E-2</v>
      </c>
      <c r="H18" s="1">
        <v>1.41895188145188E-2</v>
      </c>
      <c r="I18" s="1">
        <v>2.0154371091871001E-2</v>
      </c>
      <c r="J18" s="1">
        <v>4.6135531135531099E-3</v>
      </c>
      <c r="K18" s="1">
        <v>2.1948337234532499E-2</v>
      </c>
    </row>
    <row r="19" spans="1:11" x14ac:dyDescent="0.25">
      <c r="A19" s="1" t="s">
        <v>21</v>
      </c>
      <c r="B19" s="2">
        <v>1.03306184556184E-2</v>
      </c>
      <c r="C19" s="2">
        <v>1.1345009157509101E-3</v>
      </c>
      <c r="D19" s="2">
        <v>1.6628354978354899E-2</v>
      </c>
      <c r="E19" s="1">
        <v>1.55275805843987E-2</v>
      </c>
      <c r="F19" s="1">
        <v>1.6497884637238999E-2</v>
      </c>
      <c r="G19" s="1">
        <v>6.8227358970799198E-3</v>
      </c>
      <c r="H19" s="1">
        <v>2.3725076543826499E-2</v>
      </c>
      <c r="I19" s="1">
        <v>1.2321248196248099E-2</v>
      </c>
      <c r="J19" s="1">
        <v>1.07924922299922E-2</v>
      </c>
      <c r="K19" s="1">
        <v>1.02972062470896E-2</v>
      </c>
    </row>
    <row r="20" spans="1:11" x14ac:dyDescent="0.25">
      <c r="A20" s="2" t="s">
        <v>1</v>
      </c>
      <c r="B20" s="2">
        <v>1.61392427017427E-2</v>
      </c>
      <c r="C20" s="1">
        <v>3.05036849597289E-2</v>
      </c>
      <c r="D20" s="2">
        <v>2.5774049583573301E-2</v>
      </c>
      <c r="E20" s="1">
        <v>1.14644894947925E-2</v>
      </c>
      <c r="F20" s="1">
        <v>3.2211287323787301E-2</v>
      </c>
      <c r="G20" s="1">
        <v>1.9670549122079699E-2</v>
      </c>
      <c r="H20" s="1">
        <v>1.0661596042846E-2</v>
      </c>
      <c r="I20" s="1">
        <v>1.4040001665001601E-2</v>
      </c>
      <c r="J20" s="1">
        <v>2.74914368039368E-2</v>
      </c>
      <c r="K20" s="1">
        <v>1.8518812621376699E-2</v>
      </c>
    </row>
    <row r="21" spans="1:11" x14ac:dyDescent="0.25">
      <c r="A21" s="2" t="s">
        <v>3</v>
      </c>
      <c r="B21" s="2">
        <v>2.14894992633629E-2</v>
      </c>
      <c r="C21" s="2">
        <v>1.96752679419346E-2</v>
      </c>
      <c r="D21" s="2">
        <v>2.0014368733118699E-2</v>
      </c>
      <c r="E21" s="1">
        <v>8.4771826989457795E-3</v>
      </c>
      <c r="F21" s="1">
        <v>1.1630905139833701E-2</v>
      </c>
      <c r="G21" s="1">
        <v>6.5537670676154604E-3</v>
      </c>
      <c r="H21" s="1">
        <v>6.8059605798242101E-3</v>
      </c>
      <c r="I21" s="1">
        <v>2.1085113960113901E-2</v>
      </c>
      <c r="J21" s="1">
        <v>2.2296411392839902E-2</v>
      </c>
      <c r="K21" s="1">
        <v>1.31176283839277E-2</v>
      </c>
    </row>
    <row r="22" spans="1:11" x14ac:dyDescent="0.25">
      <c r="A22" s="1" t="s">
        <v>8</v>
      </c>
      <c r="B22" s="2">
        <v>7.3430555555555497E-3</v>
      </c>
      <c r="C22" s="1">
        <v>0</v>
      </c>
      <c r="D22" s="2">
        <v>1.5422022036605299E-2</v>
      </c>
      <c r="E22" s="1">
        <v>6.2435168180117601E-3</v>
      </c>
      <c r="F22" s="1">
        <v>1.7647861397861401E-2</v>
      </c>
      <c r="G22" s="1">
        <v>4.2830516044801703E-3</v>
      </c>
      <c r="H22" s="1">
        <v>9.6073900814285396E-3</v>
      </c>
      <c r="I22" s="1">
        <v>0</v>
      </c>
      <c r="J22" s="1">
        <v>9.7318452380952304E-3</v>
      </c>
      <c r="K22" s="1">
        <v>9.06285072951739E-3</v>
      </c>
    </row>
    <row r="23" spans="1:11" x14ac:dyDescent="0.25">
      <c r="A23" s="1" t="s">
        <v>19</v>
      </c>
      <c r="B23" s="2">
        <v>1.00578876370543E-2</v>
      </c>
      <c r="C23" s="2">
        <v>5.6617826617826597E-3</v>
      </c>
      <c r="D23" s="2">
        <v>6.2037355006105003E-3</v>
      </c>
      <c r="E23" s="1">
        <v>3.4839402101033501E-3</v>
      </c>
      <c r="F23" s="1">
        <v>5.7704110704110698E-3</v>
      </c>
      <c r="G23" s="1">
        <v>2.7328814892590401E-2</v>
      </c>
      <c r="H23" s="1">
        <v>1.6886544011544002E-2</v>
      </c>
      <c r="I23" s="1">
        <v>9.2225552225552194E-3</v>
      </c>
      <c r="J23" s="1">
        <v>4.5528638028637996E-3</v>
      </c>
      <c r="K23" s="1">
        <v>1.69548384309633E-2</v>
      </c>
    </row>
    <row r="24" spans="1:11" x14ac:dyDescent="0.25">
      <c r="A24" s="2" t="s">
        <v>5</v>
      </c>
      <c r="B24" s="2">
        <v>0</v>
      </c>
      <c r="C24" s="2">
        <v>3.7402537923004901E-2</v>
      </c>
      <c r="D24" s="2">
        <v>2.2474542124542099E-2</v>
      </c>
      <c r="E24" s="2">
        <v>2.1464646464646399E-3</v>
      </c>
      <c r="F24" s="1">
        <v>0</v>
      </c>
      <c r="G24" s="1">
        <v>2.5572707715564798E-2</v>
      </c>
      <c r="H24" s="1">
        <v>2.4519497863247801E-2</v>
      </c>
      <c r="I24" s="1">
        <v>1.06546009546009E-2</v>
      </c>
      <c r="J24" s="1">
        <v>3.1798187300591099E-2</v>
      </c>
      <c r="K24" s="1">
        <v>2.4852761512541101E-2</v>
      </c>
    </row>
    <row r="25" spans="1:11" x14ac:dyDescent="0.25">
      <c r="A25" s="2" t="s">
        <v>6</v>
      </c>
      <c r="B25" s="2">
        <v>3.9230769230769198E-3</v>
      </c>
      <c r="C25" s="2">
        <v>0</v>
      </c>
      <c r="D25" s="2">
        <v>0</v>
      </c>
      <c r="E25" s="2">
        <v>1.9079685746352399E-3</v>
      </c>
      <c r="F25" s="1">
        <v>0</v>
      </c>
      <c r="G25" s="1">
        <v>7.6284913930686499E-3</v>
      </c>
      <c r="H25" s="1">
        <v>6.3290043290043299E-3</v>
      </c>
      <c r="I25" s="1">
        <v>6.7777777777777697E-3</v>
      </c>
      <c r="J25" s="1">
        <v>2.0556122448979501E-3</v>
      </c>
      <c r="K25" s="1">
        <v>2.2644022644022601E-3</v>
      </c>
    </row>
    <row r="26" spans="1:11" x14ac:dyDescent="0.25">
      <c r="A26" s="1" t="s">
        <v>13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</row>
    <row r="27" spans="1:11" x14ac:dyDescent="0.25">
      <c r="A27" s="1" t="s">
        <v>53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</row>
    <row r="29" spans="1:11" x14ac:dyDescent="0.25">
      <c r="B29" s="2">
        <f>SUM($B$3:$B$27)</f>
        <v>0.99999999999999667</v>
      </c>
      <c r="C29" s="2">
        <f>SUM($C$3:$C$27)</f>
        <v>0.99999999999999756</v>
      </c>
      <c r="D29" s="2">
        <f>SUM($D$3:$D$27)</f>
        <v>0.99999999999999833</v>
      </c>
      <c r="E29" s="2">
        <f>SUM($E$3:$E$27)</f>
        <v>0.99999999999999822</v>
      </c>
      <c r="F29" s="2">
        <f>SUM($F$3:$F$27)</f>
        <v>0.99999999999999789</v>
      </c>
      <c r="G29" s="2">
        <f>SUM($G$3:$G$27)</f>
        <v>0.99999999999999778</v>
      </c>
      <c r="H29" s="2">
        <f>SUM($H$3:$H$27)</f>
        <v>0.99999999999999889</v>
      </c>
      <c r="I29" s="2">
        <f>SUM($I$3:$I$27)</f>
        <v>0.999999999999999</v>
      </c>
      <c r="J29" s="2">
        <f>SUM($J$3:$J$27)</f>
        <v>0.99999999999999767</v>
      </c>
      <c r="K29" s="2">
        <f>SUM($K$3:$K$27)</f>
        <v>0.999999999999998</v>
      </c>
    </row>
  </sheetData>
  <pageMargins left="0.7" right="0.7" top="0.75" bottom="0.75" header="0.3" footer="0.3"/>
  <tableParts count="10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https://mynotebook.labarchives.com</BaseUri>
  <eid>MTA1LjN8NTg2MTcxLzgxL0VudHJ5UGFydC8zMDMyMzYwOTEyfDI2Ny4z</eid>
  <version>1</version>
  <updated-at>2020-12-09T11:35:55-05:00</updated-at>
</LabArchives>
</file>

<file path=customXml/itemProps1.xml><?xml version="1.0" encoding="utf-8"?>
<ds:datastoreItem xmlns:ds="http://schemas.openxmlformats.org/officeDocument/2006/customXml" ds:itemID="{A66206AB-D9F7-4A16-950C-D1C061B605F7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Manager/>
  <Company>Moffitt Cancer Center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Aydin, A. Murat</dc:creator>
  <cp:keywords/>
  <dc:description/>
  <cp:lastModifiedBy>Olumoyin, Kayode D</cp:lastModifiedBy>
  <cp:revision/>
  <dcterms:created xsi:type="dcterms:W3CDTF">2019-07-09T00:31:38Z</dcterms:created>
  <dcterms:modified xsi:type="dcterms:W3CDTF">2026-03-12T14:08:06Z</dcterms:modified>
  <cp:category/>
  <cp:contentStatus/>
</cp:coreProperties>
</file>